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NAS\daten\Dev\urlaubsplanung\"/>
    </mc:Choice>
  </mc:AlternateContent>
  <xr:revisionPtr revIDLastSave="0" documentId="13_ncr:1_{B2ACBCB1-2999-440E-9EF4-2D09651198E7}" xr6:coauthVersionLast="47" xr6:coauthVersionMax="47" xr10:uidLastSave="{00000000-0000-0000-0000-000000000000}"/>
  <bookViews>
    <workbookView xWindow="3420" yWindow="3420" windowWidth="21600" windowHeight="11835" xr2:uid="{00000000-000D-0000-FFFF-FFFF00000000}"/>
  </bookViews>
  <sheets>
    <sheet name="Tabelle1" sheetId="2" r:id="rId1"/>
  </sheets>
  <definedNames>
    <definedName name="_xlnm.Print_Area" localSheetId="0">Tabelle1!$A$1:$K$48</definedName>
    <definedName name="Print_Area" localSheetId="0">Tabelle1!$B$1:$K$43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" l="1"/>
  <c r="D47" i="2" s="1"/>
  <c r="E40" i="2"/>
  <c r="J40" i="2"/>
  <c r="J41" i="2"/>
  <c r="I38" i="2"/>
  <c r="I43" i="2" s="1"/>
  <c r="I39" i="2"/>
  <c r="J43" i="2" l="1"/>
  <c r="K43" i="2"/>
  <c r="K46" i="2" s="1"/>
</calcChain>
</file>

<file path=xl/sharedStrings.xml><?xml version="1.0" encoding="utf-8"?>
<sst xmlns="http://schemas.openxmlformats.org/spreadsheetml/2006/main" count="124" uniqueCount="56">
  <si>
    <t>Tage</t>
  </si>
  <si>
    <t>Datum</t>
  </si>
  <si>
    <t>Ort</t>
  </si>
  <si>
    <t>Ankunft</t>
  </si>
  <si>
    <t>Hotel</t>
  </si>
  <si>
    <t>Abfahrt</t>
  </si>
  <si>
    <t>Essen</t>
  </si>
  <si>
    <t>Reisezeit</t>
  </si>
  <si>
    <t xml:space="preserve"> Preis
gebucht</t>
  </si>
  <si>
    <t>Kosten
geschätzt</t>
  </si>
  <si>
    <t>Pro Nase</t>
  </si>
  <si>
    <t>Summe</t>
  </si>
  <si>
    <t>Ausflüge
und Eintritt</t>
  </si>
  <si>
    <t>ñ</t>
  </si>
  <si>
    <t>ä</t>
  </si>
  <si>
    <t>®</t>
  </si>
  <si>
    <t>Flüge</t>
  </si>
  <si>
    <t>Unterkunft</t>
  </si>
  <si>
    <t>Taxi</t>
  </si>
  <si>
    <t>Get Your guide</t>
  </si>
  <si>
    <t>Bezahlt</t>
  </si>
  <si>
    <t>Koh Chang</t>
  </si>
  <si>
    <t>Koh Kood</t>
  </si>
  <si>
    <t xml:space="preserve">Bangkok </t>
  </si>
  <si>
    <t>Neighbor Phuthon</t>
  </si>
  <si>
    <t xml:space="preserve">Koh Kood </t>
  </si>
  <si>
    <t>🚢</t>
  </si>
  <si>
    <t>🚢</t>
  </si>
  <si>
    <t>vtoT🚢</t>
  </si>
  <si>
    <r>
      <t>🚢</t>
    </r>
    <r>
      <rPr>
        <sz val="14"/>
        <color theme="5" tint="-0.249977111117893"/>
        <rFont val="Webdings"/>
        <family val="1"/>
        <charset val="2"/>
      </rPr>
      <t></t>
    </r>
  </si>
  <si>
    <t>Koh Chang - Koh Kood -Fähre</t>
  </si>
  <si>
    <t>Kombiticket ("Through Ticket")</t>
  </si>
  <si>
    <t xml:space="preserve">Kombi-Ticket (Fähre + Minivan) </t>
  </si>
  <si>
    <t>🛵</t>
  </si>
  <si>
    <t>🛌</t>
  </si>
  <si>
    <t>27000 Bath Bar</t>
  </si>
  <si>
    <t>5000 Bath</t>
  </si>
  <si>
    <t>4000 Frühstück</t>
  </si>
  <si>
    <t>Suan Maprao Ko Kut Resort</t>
  </si>
  <si>
    <t>Jungle View Resort</t>
  </si>
  <si>
    <t>🤿</t>
  </si>
  <si>
    <r>
      <t>🚢</t>
    </r>
    <r>
      <rPr>
        <sz val="14"/>
        <color theme="5" tint="-0.249977111117893"/>
        <rFont val="Webdings"/>
        <family val="1"/>
        <charset val="2"/>
      </rPr>
      <t></t>
    </r>
    <r>
      <rPr>
        <sz val="14"/>
        <color theme="5" tint="-0.249977111117893"/>
        <rFont val="Segoe UI Symbol"/>
        <family val="2"/>
      </rPr>
      <t>🤿</t>
    </r>
  </si>
  <si>
    <t>Transport + Tauchen</t>
  </si>
  <si>
    <t>Parken</t>
  </si>
  <si>
    <t>Bargeld für Koh Kood</t>
  </si>
  <si>
    <t>Bungalow</t>
  </si>
  <si>
    <t>Roller</t>
  </si>
  <si>
    <t>Eintritt und sonstiges</t>
  </si>
  <si>
    <t>Transport</t>
  </si>
  <si>
    <r>
      <t xml:space="preserve">Frankfurt - Qatar </t>
    </r>
    <r>
      <rPr>
        <b/>
        <sz val="11"/>
        <color rgb="FF000000"/>
        <rFont val="Calibri"/>
        <family val="2"/>
        <scheme val="minor"/>
      </rPr>
      <t>QR72</t>
    </r>
  </si>
  <si>
    <r>
      <t xml:space="preserve">Doha  -Bankok Qatar </t>
    </r>
    <r>
      <rPr>
        <b/>
        <sz val="11"/>
        <color rgb="FF000000"/>
        <rFont val="Calibri"/>
        <family val="2"/>
        <scheme val="minor"/>
      </rPr>
      <t>QR828</t>
    </r>
  </si>
  <si>
    <r>
      <t xml:space="preserve">Koh Kood  - Bangkok . Doha </t>
    </r>
    <r>
      <rPr>
        <b/>
        <sz val="11"/>
        <color rgb="FF000000"/>
        <rFont val="Calibri"/>
        <family val="2"/>
        <scheme val="minor"/>
      </rPr>
      <t>QR835</t>
    </r>
  </si>
  <si>
    <r>
      <t>Doha - Franfurt</t>
    </r>
    <r>
      <rPr>
        <b/>
        <sz val="11"/>
        <color rgb="FF000000"/>
        <rFont val="Calibri"/>
        <family val="2"/>
        <scheme val="minor"/>
      </rPr>
      <t xml:space="preserve"> QR69</t>
    </r>
  </si>
  <si>
    <t>Bangkok - Koh Chang mit Auto, Fähre</t>
  </si>
  <si>
    <t>Massage und tauchen</t>
  </si>
  <si>
    <t xml:space="preserve">Am besten 2*30000 bath mit Karte in Koh Chang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</si>
</sst>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407]dddd\,\ d/m\ yyyy"/>
    <numFmt numFmtId="165" formatCode="_-* #,##0.000\ &quot;€&quot;_-;\-* #,##0.000\ &quot;€&quot;_-;_-* &quot;-&quot;??\ &quot;€&quot;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5" tint="-0.249977111117893"/>
      <name val="Webdings"/>
      <family val="1"/>
      <charset val="2"/>
    </font>
    <font>
      <b/>
      <sz val="11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theme="10"/>
      <name val="Calibri"/>
      <family val="2"/>
      <scheme val="minor"/>
    </font>
    <font>
      <sz val="14"/>
      <color theme="9"/>
      <name val="Webdings"/>
      <family val="1"/>
      <charset val="2"/>
    </font>
    <font>
      <sz val="11"/>
      <color theme="9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4"/>
      <color theme="7" tint="-0.249977111117893"/>
      <name val="Webdings"/>
      <family val="1"/>
      <charset val="2"/>
    </font>
    <font>
      <sz val="11"/>
      <color theme="8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1A2B49"/>
      <name val="Inherit"/>
    </font>
    <font>
      <b/>
      <sz val="10"/>
      <color theme="4" tint="-0.249977111117893"/>
      <name val="Aptos"/>
      <family val="2"/>
    </font>
    <font>
      <b/>
      <sz val="12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4"/>
      <color theme="5" tint="-0.249977111117893"/>
      <name val="Segoe UI Symbol"/>
      <family val="2"/>
    </font>
    <font>
      <sz val="14"/>
      <color theme="4" tint="-0.249977111117893"/>
      <name val="Segoe UI Symbol"/>
      <family val="2"/>
    </font>
    <font>
      <sz val="12"/>
      <color theme="5" tint="-0.249977111117893"/>
      <name val="Segoe UI Emoji"/>
      <family val="2"/>
    </font>
    <font>
      <sz val="10"/>
      <color theme="5" tint="-0.249977111117893"/>
      <name val="Arial"/>
      <family val="2"/>
    </font>
    <font>
      <b/>
      <sz val="12"/>
      <color theme="9" tint="-0.249977111117893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20" fillId="0" borderId="0" xfId="0" applyFont="1"/>
    <xf numFmtId="0" fontId="20" fillId="0" borderId="10" xfId="0" applyFont="1" applyBorder="1"/>
    <xf numFmtId="0" fontId="20" fillId="0" borderId="10" xfId="0" applyFont="1" applyBorder="1" applyAlignment="1">
      <alignment vertical="top" wrapText="1"/>
    </xf>
    <xf numFmtId="0" fontId="16" fillId="0" borderId="0" xfId="0" applyFont="1" applyAlignment="1">
      <alignment horizontal="right"/>
    </xf>
    <xf numFmtId="164" fontId="19" fillId="0" borderId="0" xfId="0" applyNumberFormat="1" applyFont="1" applyAlignment="1">
      <alignment horizontal="right" vertical="top" wrapText="1"/>
    </xf>
    <xf numFmtId="0" fontId="19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center" vertical="top" wrapText="1"/>
    </xf>
    <xf numFmtId="164" fontId="19" fillId="0" borderId="10" xfId="0" applyNumberFormat="1" applyFont="1" applyBorder="1" applyAlignment="1">
      <alignment horizontal="right" vertical="top" wrapText="1"/>
    </xf>
    <xf numFmtId="0" fontId="19" fillId="0" borderId="10" xfId="0" applyFont="1" applyBorder="1" applyAlignment="1">
      <alignment vertical="top" wrapText="1"/>
    </xf>
    <xf numFmtId="20" fontId="19" fillId="0" borderId="10" xfId="0" applyNumberFormat="1" applyFont="1" applyBorder="1" applyAlignment="1">
      <alignment horizontal="right" vertical="top" wrapText="1"/>
    </xf>
    <xf numFmtId="20" fontId="20" fillId="0" borderId="10" xfId="0" applyNumberFormat="1" applyFont="1" applyBorder="1" applyAlignment="1">
      <alignment vertical="top" wrapText="1"/>
    </xf>
    <xf numFmtId="20" fontId="19" fillId="0" borderId="10" xfId="0" applyNumberFormat="1" applyFont="1" applyBorder="1" applyAlignment="1">
      <alignment vertical="top" wrapText="1"/>
    </xf>
    <xf numFmtId="0" fontId="21" fillId="0" borderId="10" xfId="42" applyFont="1" applyBorder="1" applyAlignment="1">
      <alignment horizontal="center" vertical="center" wrapText="1"/>
    </xf>
    <xf numFmtId="8" fontId="19" fillId="0" borderId="10" xfId="0" applyNumberFormat="1" applyFont="1" applyBorder="1" applyAlignment="1">
      <alignment vertical="top" wrapText="1"/>
    </xf>
    <xf numFmtId="44" fontId="19" fillId="0" borderId="10" xfId="43" applyFont="1" applyBorder="1" applyAlignment="1">
      <alignment vertical="top" wrapText="1"/>
    </xf>
    <xf numFmtId="20" fontId="20" fillId="0" borderId="10" xfId="0" applyNumberFormat="1" applyFont="1" applyBorder="1"/>
    <xf numFmtId="0" fontId="23" fillId="0" borderId="10" xfId="0" applyFont="1" applyBorder="1" applyAlignment="1">
      <alignment vertical="top" wrapText="1"/>
    </xf>
    <xf numFmtId="0" fontId="25" fillId="0" borderId="10" xfId="0" applyFont="1" applyBorder="1" applyAlignment="1">
      <alignment vertical="top" wrapText="1"/>
    </xf>
    <xf numFmtId="0" fontId="0" fillId="0" borderId="10" xfId="0" applyBorder="1" applyAlignment="1">
      <alignment wrapText="1"/>
    </xf>
    <xf numFmtId="44" fontId="19" fillId="0" borderId="0" xfId="43" applyFont="1" applyAlignment="1">
      <alignment horizontal="right" vertical="top" wrapText="1"/>
    </xf>
    <xf numFmtId="44" fontId="24" fillId="0" borderId="0" xfId="43" applyFont="1" applyAlignment="1">
      <alignment horizontal="right" vertical="top" wrapText="1"/>
    </xf>
    <xf numFmtId="0" fontId="18" fillId="0" borderId="10" xfId="42" applyBorder="1" applyAlignment="1">
      <alignment horizontal="center" vertical="center" wrapText="1"/>
    </xf>
    <xf numFmtId="0" fontId="18" fillId="0" borderId="0" xfId="42"/>
    <xf numFmtId="0" fontId="22" fillId="35" borderId="0" xfId="0" applyFont="1" applyFill="1" applyAlignment="1">
      <alignment vertical="top" wrapText="1"/>
    </xf>
    <xf numFmtId="0" fontId="0" fillId="0" borderId="10" xfId="0" applyBorder="1"/>
    <xf numFmtId="0" fontId="22" fillId="37" borderId="0" xfId="0" applyFont="1" applyFill="1"/>
    <xf numFmtId="0" fontId="26" fillId="34" borderId="0" xfId="0" applyFont="1" applyFill="1" applyAlignment="1">
      <alignment vertical="top" wrapText="1"/>
    </xf>
    <xf numFmtId="0" fontId="26" fillId="36" borderId="0" xfId="0" applyFont="1" applyFill="1" applyAlignment="1">
      <alignment vertical="top" wrapText="1"/>
    </xf>
    <xf numFmtId="0" fontId="22" fillId="0" borderId="0" xfId="0" applyFont="1"/>
    <xf numFmtId="0" fontId="27" fillId="0" borderId="10" xfId="42" applyFont="1" applyBorder="1" applyAlignment="1">
      <alignment horizontal="center" vertical="center" wrapText="1"/>
    </xf>
    <xf numFmtId="0" fontId="23" fillId="0" borderId="0" xfId="0" applyFont="1" applyAlignment="1">
      <alignment vertical="top" wrapText="1"/>
    </xf>
    <xf numFmtId="0" fontId="28" fillId="0" borderId="10" xfId="0" applyFont="1" applyBorder="1" applyAlignment="1">
      <alignment vertical="top" wrapText="1"/>
    </xf>
    <xf numFmtId="44" fontId="29" fillId="0" borderId="10" xfId="43" applyFont="1" applyBorder="1" applyAlignment="1">
      <alignment vertical="top" wrapText="1"/>
    </xf>
    <xf numFmtId="8" fontId="30" fillId="0" borderId="10" xfId="0" applyNumberFormat="1" applyFont="1" applyBorder="1" applyAlignment="1">
      <alignment vertical="top" wrapText="1"/>
    </xf>
    <xf numFmtId="44" fontId="29" fillId="0" borderId="10" xfId="43" applyFont="1" applyBorder="1"/>
    <xf numFmtId="8" fontId="24" fillId="0" borderId="0" xfId="43" applyNumberFormat="1" applyFont="1" applyAlignment="1">
      <alignment horizontal="right" vertical="top" wrapText="1"/>
    </xf>
    <xf numFmtId="44" fontId="31" fillId="0" borderId="10" xfId="43" applyFont="1" applyBorder="1" applyAlignment="1">
      <alignment vertical="top" wrapText="1"/>
    </xf>
    <xf numFmtId="44" fontId="25" fillId="0" borderId="10" xfId="43" applyFont="1" applyBorder="1" applyAlignment="1">
      <alignment vertical="top" wrapText="1"/>
    </xf>
    <xf numFmtId="8" fontId="32" fillId="0" borderId="10" xfId="0" applyNumberFormat="1" applyFont="1" applyBorder="1" applyAlignment="1">
      <alignment vertical="top" wrapText="1"/>
    </xf>
    <xf numFmtId="0" fontId="33" fillId="0" borderId="10" xfId="0" applyFont="1" applyBorder="1" applyAlignment="1">
      <alignment vertical="top" wrapText="1"/>
    </xf>
    <xf numFmtId="44" fontId="32" fillId="0" borderId="10" xfId="43" applyFont="1" applyBorder="1" applyAlignment="1">
      <alignment vertical="top" wrapText="1"/>
    </xf>
    <xf numFmtId="44" fontId="34" fillId="0" borderId="10" xfId="43" applyFont="1" applyBorder="1" applyAlignment="1">
      <alignment vertical="top" wrapText="1"/>
    </xf>
    <xf numFmtId="44" fontId="29" fillId="0" borderId="10" xfId="0" applyNumberFormat="1" applyFont="1" applyBorder="1" applyAlignment="1">
      <alignment vertical="top" wrapText="1"/>
    </xf>
    <xf numFmtId="8" fontId="34" fillId="0" borderId="10" xfId="0" applyNumberFormat="1" applyFont="1" applyBorder="1" applyAlignment="1">
      <alignment vertical="top" wrapText="1"/>
    </xf>
    <xf numFmtId="44" fontId="35" fillId="0" borderId="0" xfId="43" applyFont="1" applyAlignment="1">
      <alignment horizontal="right" vertical="top" wrapText="1"/>
    </xf>
    <xf numFmtId="0" fontId="18" fillId="0" borderId="0" xfId="42" applyAlignment="1">
      <alignment vertical="center" wrapText="1"/>
    </xf>
    <xf numFmtId="0" fontId="3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7" fillId="0" borderId="0" xfId="0" applyFont="1"/>
    <xf numFmtId="0" fontId="19" fillId="33" borderId="0" xfId="0" applyFont="1" applyFill="1" applyAlignment="1">
      <alignment horizontal="center" vertical="top" wrapText="1"/>
    </xf>
    <xf numFmtId="44" fontId="38" fillId="0" borderId="0" xfId="43" applyFont="1" applyAlignment="1">
      <alignment horizontal="right" vertical="top" wrapText="1"/>
    </xf>
    <xf numFmtId="0" fontId="18" fillId="0" borderId="0" xfId="42" applyAlignment="1">
      <alignment horizontal="center" vertical="center" wrapText="1"/>
    </xf>
    <xf numFmtId="20" fontId="20" fillId="0" borderId="10" xfId="0" applyNumberFormat="1" applyFont="1" applyBorder="1" applyAlignment="1">
      <alignment vertical="center"/>
    </xf>
    <xf numFmtId="44" fontId="39" fillId="0" borderId="10" xfId="43" applyFont="1" applyBorder="1"/>
    <xf numFmtId="0" fontId="40" fillId="0" borderId="10" xfId="0" applyFont="1" applyBorder="1" applyAlignment="1">
      <alignment vertical="top" wrapText="1"/>
    </xf>
    <xf numFmtId="8" fontId="25" fillId="0" borderId="10" xfId="0" applyNumberFormat="1" applyFont="1" applyBorder="1" applyAlignment="1">
      <alignment vertical="top" wrapText="1"/>
    </xf>
    <xf numFmtId="0" fontId="1" fillId="0" borderId="0" xfId="42" applyFont="1" applyAlignment="1">
      <alignment vertical="center" wrapText="1"/>
    </xf>
    <xf numFmtId="0" fontId="41" fillId="0" borderId="10" xfId="0" applyFont="1" applyBorder="1" applyAlignment="1">
      <alignment vertical="top" wrapText="1"/>
    </xf>
    <xf numFmtId="0" fontId="42" fillId="0" borderId="10" xfId="0" applyFont="1" applyBorder="1" applyAlignment="1">
      <alignment vertical="top" wrapText="1"/>
    </xf>
    <xf numFmtId="0" fontId="43" fillId="0" borderId="10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44" fontId="20" fillId="0" borderId="0" xfId="43" applyFont="1"/>
    <xf numFmtId="44" fontId="0" fillId="0" borderId="0" xfId="43" applyFont="1" applyFill="1" applyBorder="1" applyAlignment="1">
      <alignment vertical="top" wrapText="1"/>
    </xf>
    <xf numFmtId="44" fontId="0" fillId="0" borderId="0" xfId="43" applyFont="1"/>
    <xf numFmtId="44" fontId="16" fillId="0" borderId="0" xfId="43" applyFont="1"/>
    <xf numFmtId="8" fontId="44" fillId="0" borderId="0" xfId="43" applyNumberFormat="1" applyFont="1" applyAlignment="1">
      <alignment horizontal="right" vertical="top" wrapText="1"/>
    </xf>
    <xf numFmtId="165" fontId="16" fillId="0" borderId="0" xfId="43" applyNumberFormat="1" applyFont="1"/>
    <xf numFmtId="0" fontId="22" fillId="36" borderId="0" xfId="0" applyFont="1" applyFill="1" applyAlignment="1">
      <alignment vertical="top" wrapText="1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ährung" xfId="43" builtinId="4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BF9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th/neighbor-phuthon.de.html?label=gen173bo-10CAEoggI46AdIB1gDaDuIAQGYATO4ARfIAQzYAQPoAQH4AQGIAgGYAiGoAgG4AoDdjcUGwAIB0gIkZWRkNjEyZDktNjUxZi00Y2RmLWFjYzAtZWY2MWZmZGU3ZGJk2AIB4AIB&amp;sid=8bea14bdda0fc2a5dcb2c65ead2fe470&amp;aid=304142&amp;ucfs=1&amp;checkin=2026-02-17&amp;checkout=2026-02-20&amp;group_adults=2&amp;no_rooms=1&amp;group_children=0&amp;srpvid=e3508110dcba00c9&amp;srepoch=1755542181&amp;matching_block_id=223349001_0_2_1_0&amp;atlas_src=hp_iw_title" TargetMode="External"/><Relationship Id="rId2" Type="http://schemas.openxmlformats.org/officeDocument/2006/relationships/hyperlink" Target="https://www.booking.com/hotel/th/neighbor-phuthon.de.html?label=gen173bo-10CAEoggI46AdIB1gDaDuIAQGYATO4ARfIAQzYAQPoAQH4AQGIAgGYAiGoAgG4AoDdjcUGwAIB0gIkZWRkNjEyZDktNjUxZi00Y2RmLWFjYzAtZWY2MWZmZGU3ZGJk2AIB4AIB&amp;sid=8bea14bdda0fc2a5dcb2c65ead2fe470&amp;aid=304142&amp;ucfs=1&amp;checkin=2026-02-17&amp;checkout=2026-02-20&amp;group_adults=2&amp;no_rooms=1&amp;group_children=0&amp;srpvid=e3508110dcba00c9&amp;srepoch=1755542181&amp;matching_block_id=223349001_0_2_1_0&amp;atlas_src=hp_iw_title" TargetMode="External"/><Relationship Id="rId1" Type="http://schemas.openxmlformats.org/officeDocument/2006/relationships/hyperlink" Target="https://www.booking.com/hotel/th/neighbor-phuthon.de.html?label=gen173bo-10CAEoggI46AdIB1gDaDuIAQGYATO4ARfIAQzYAQPoAQH4AQGIAgGYAiGoAgG4AoDdjcUGwAIB0gIkZWRkNjEyZDktNjUxZi00Y2RmLWFjYzAtZWY2MWZmZGU3ZGJk2AIB4AIB&amp;sid=8bea14bdda0fc2a5dcb2c65ead2fe470&amp;aid=304142&amp;ucfs=1&amp;checkin=2026-02-17&amp;checkout=2026-02-20&amp;group_adults=2&amp;no_rooms=1&amp;group_children=0&amp;srpvid=e3508110dcba00c9&amp;srepoch=1755542181&amp;matching_block_id=223349001_0_2_1_0&amp;atlas_src=hp_iw_titl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ooking.com/hotel/th/jungle-view.de.html?label=metagha-link-MRDE-hotel-4633514_dev-desktop_los-1_bw-13_dow-Sunday_defdate-1_room-0_gstadt-2_rateid-public_aud-0_gacid-21411073817_mcid-50_bc-AEazqg_ppa-0_clrid-0_ad-1_gstkid-0_checkin-20251123_ppt-B_lp-2276_r-11587889017981501062&amp;sid=8bea14bdda0fc2a5dcb2c65ead2fe470&amp;utm_source=metagha&amp;utm_medium=mapresults&amp;utm_term=hotel-4633514&amp;utm_content=dev-desktop_los-1_bw-13_dow-Sunday_defdate-1_room-0_gstadt-2_rateid-public_aud-0_gacid-21411073817_mcid-50_bc-AEazqg_ppa-0_clrid-0_ad-1_gstkid-0_checkin-20251123_ppt-B&amp;utm_campaign=DE&amp;gclid=CjwKCAiAt8bIBhBpEiwAzH1w6f5lsPURRzheDWvKbUYskyfAxwpW-QTEqcySTQaOeHCh-V1XvXzbwhoC4LsQAvD_BwE&amp;aid=356932" TargetMode="External"/><Relationship Id="rId4" Type="http://schemas.openxmlformats.org/officeDocument/2006/relationships/hyperlink" Target="https://www.booking.com/hotel/th/ko-kut-coconut-garden.de.html?label=metagha-link-MRDE-hotel-4633514_dev-desktop_los-1_bw-13_dow-Sunday_defdate-1_room-0_gstadt-2_rateid-public_aud-0_gacid-21411073817_mcid-50_bc-AEazqg_ppa-0_clrid-0_ad-1_gstkid-0_checkin-20251123_ppt-B_lp-2276_r-11587889017981501062&amp;sid=8bea14bdda0fc2a5dcb2c65ead2fe470&amp;utm_source=metagha&amp;utm_medium=mapresults&amp;utm_term=hotel-4633514&amp;utm_content=dev-desktop_los-1_bw-13_dow-Sunday_defdate-1_room-0_gstadt-2_rateid-public_aud-0_gacid-21411073817_mcid-50_bc-AEazqg_ppa-0_clrid-0_ad-1_gstkid-0_checkin-20251123_ppt-B&amp;utm_campaign=DE&amp;gclid=CjwKCAiAt8bIBhBpEiwAzH1w6f5lsPURRzheDWvKbUYskyfAxwpW-QTEqcySTQaOeHCh-V1XvXzbwhoC4LsQAvD_BwE&amp;aid=3569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8"/>
  <sheetViews>
    <sheetView tabSelected="1" topLeftCell="C29" workbookViewId="0">
      <selection activeCell="E50" sqref="E50"/>
    </sheetView>
  </sheetViews>
  <sheetFormatPr baseColWidth="10" defaultColWidth="11.42578125" defaultRowHeight="15"/>
  <cols>
    <col min="1" max="1" width="5.28515625" style="1" customWidth="1"/>
    <col min="2" max="2" width="21.5703125" style="1" customWidth="1"/>
    <col min="3" max="3" width="33.5703125" style="1" customWidth="1"/>
    <col min="4" max="4" width="13.85546875" style="1" customWidth="1"/>
    <col min="5" max="5" width="10.7109375" style="1" customWidth="1"/>
    <col min="6" max="6" width="0.85546875" style="1" customWidth="1"/>
    <col min="7" max="7" width="8.85546875" style="1" customWidth="1"/>
    <col min="8" max="8" width="26.140625" style="1" customWidth="1"/>
    <col min="9" max="9" width="12.5703125" style="1" customWidth="1"/>
    <col min="10" max="10" width="13" style="1" customWidth="1"/>
    <col min="11" max="11" width="12.42578125" style="1" customWidth="1"/>
    <col min="12" max="12" width="12.140625" style="1" customWidth="1"/>
    <col min="13" max="13" width="50" style="1" customWidth="1"/>
    <col min="14" max="14" width="10.42578125" style="1" customWidth="1"/>
    <col min="15" max="15" width="20.7109375" style="1" customWidth="1"/>
    <col min="16" max="16384" width="11.42578125" style="1"/>
  </cols>
  <sheetData>
    <row r="1" spans="1:15" ht="30">
      <c r="A1" s="6" t="s">
        <v>0</v>
      </c>
      <c r="B1" s="7" t="s">
        <v>1</v>
      </c>
      <c r="C1" s="7" t="s">
        <v>2</v>
      </c>
      <c r="D1" s="7" t="s">
        <v>5</v>
      </c>
      <c r="E1" s="7" t="s">
        <v>3</v>
      </c>
      <c r="F1" s="6"/>
      <c r="G1" s="6" t="s">
        <v>7</v>
      </c>
      <c r="H1" s="7" t="s">
        <v>4</v>
      </c>
      <c r="I1" s="7" t="s">
        <v>8</v>
      </c>
      <c r="J1" s="7" t="s">
        <v>9</v>
      </c>
      <c r="K1" s="7"/>
      <c r="L1" s="50" t="s">
        <v>20</v>
      </c>
    </row>
    <row r="2" spans="1:15" ht="19.5">
      <c r="A2" s="27"/>
      <c r="B2" s="8">
        <v>46069</v>
      </c>
      <c r="C2" s="9" t="s">
        <v>49</v>
      </c>
      <c r="D2" s="10">
        <v>0.91666666666666663</v>
      </c>
      <c r="E2" s="11">
        <v>0.25</v>
      </c>
      <c r="F2" s="9"/>
      <c r="G2" s="12">
        <v>0.25</v>
      </c>
      <c r="H2" s="30"/>
      <c r="I2" s="39"/>
      <c r="J2" s="35">
        <v>1255.74</v>
      </c>
      <c r="K2" s="32" t="s">
        <v>13</v>
      </c>
      <c r="L2" s="35">
        <v>1255.74</v>
      </c>
    </row>
    <row r="3" spans="1:15" ht="25.5" customHeight="1">
      <c r="A3" s="28"/>
      <c r="B3" s="8">
        <v>46070</v>
      </c>
      <c r="C3" s="9" t="s">
        <v>50</v>
      </c>
      <c r="D3" s="11">
        <v>0.3263888888888889</v>
      </c>
      <c r="E3" s="11">
        <v>0.76736111111111116</v>
      </c>
      <c r="F3" s="3"/>
      <c r="G3" s="11">
        <v>0.27430555555555558</v>
      </c>
      <c r="H3" s="52" t="s">
        <v>24</v>
      </c>
      <c r="I3" s="34">
        <v>192</v>
      </c>
      <c r="J3" s="34"/>
      <c r="K3" s="58" t="s">
        <v>34</v>
      </c>
      <c r="L3" s="34">
        <v>192</v>
      </c>
      <c r="M3" s="48"/>
      <c r="O3" s="31" t="s">
        <v>28</v>
      </c>
    </row>
    <row r="4" spans="1:15">
      <c r="A4" s="68">
        <v>3</v>
      </c>
      <c r="B4" s="8">
        <v>46071</v>
      </c>
      <c r="C4" s="9" t="s">
        <v>23</v>
      </c>
      <c r="D4" s="16"/>
      <c r="E4" s="16"/>
      <c r="F4" s="9"/>
      <c r="G4" s="16"/>
      <c r="H4" s="52" t="s">
        <v>24</v>
      </c>
      <c r="I4" s="14"/>
      <c r="J4" s="56">
        <v>158</v>
      </c>
      <c r="K4" s="60" t="s">
        <v>43</v>
      </c>
      <c r="L4" s="54"/>
      <c r="M4" s="23"/>
    </row>
    <row r="5" spans="1:15" ht="19.5">
      <c r="A5" s="68"/>
      <c r="B5" s="8">
        <v>46072</v>
      </c>
      <c r="C5" s="9" t="s">
        <v>23</v>
      </c>
      <c r="D5" s="10"/>
      <c r="E5" s="10"/>
      <c r="F5" s="9"/>
      <c r="G5" s="12"/>
      <c r="H5" s="52" t="s">
        <v>24</v>
      </c>
      <c r="I5" s="14"/>
      <c r="J5" s="17"/>
      <c r="K5" s="17"/>
      <c r="L5" s="39"/>
      <c r="M5"/>
      <c r="O5" s="1" t="s">
        <v>26</v>
      </c>
    </row>
    <row r="6" spans="1:15" ht="19.5" customHeight="1">
      <c r="A6" s="24"/>
      <c r="B6" s="8">
        <v>46073</v>
      </c>
      <c r="C6" s="9" t="s">
        <v>53</v>
      </c>
      <c r="D6" s="10">
        <v>0.45833333333333331</v>
      </c>
      <c r="E6" s="10">
        <v>0.70833333333333337</v>
      </c>
      <c r="F6" s="3"/>
      <c r="G6" s="53">
        <v>0.25</v>
      </c>
      <c r="H6" s="52" t="s">
        <v>39</v>
      </c>
      <c r="I6" s="34">
        <v>950</v>
      </c>
      <c r="J6" s="17"/>
      <c r="K6" s="58" t="s">
        <v>34</v>
      </c>
      <c r="O6" s="31"/>
    </row>
    <row r="7" spans="1:15" ht="20.25">
      <c r="A7" s="24"/>
      <c r="B7" s="8">
        <v>46074</v>
      </c>
      <c r="C7" s="9" t="s">
        <v>21</v>
      </c>
      <c r="D7" s="11"/>
      <c r="E7" s="11"/>
      <c r="F7" s="3"/>
      <c r="G7" s="16"/>
      <c r="H7" s="30" t="s">
        <v>39</v>
      </c>
      <c r="I7" s="14"/>
      <c r="J7" s="56">
        <v>100</v>
      </c>
      <c r="K7" s="55" t="s">
        <v>29</v>
      </c>
      <c r="L7" s="39"/>
    </row>
    <row r="8" spans="1:15" ht="20.25">
      <c r="A8" s="24"/>
      <c r="B8" s="8">
        <v>46075</v>
      </c>
      <c r="C8" s="9" t="s">
        <v>21</v>
      </c>
      <c r="D8" s="3"/>
      <c r="E8" s="3"/>
      <c r="F8" s="3"/>
      <c r="G8" s="11"/>
      <c r="H8" s="30" t="s">
        <v>39</v>
      </c>
      <c r="I8" s="14"/>
      <c r="J8" s="56">
        <v>150</v>
      </c>
      <c r="K8" s="55" t="s">
        <v>33</v>
      </c>
      <c r="L8" s="35"/>
    </row>
    <row r="9" spans="1:15" ht="18.75">
      <c r="A9" s="24"/>
      <c r="B9" s="8">
        <v>46076</v>
      </c>
      <c r="C9" s="9" t="s">
        <v>21</v>
      </c>
      <c r="D9" s="3"/>
      <c r="E9" s="3"/>
      <c r="F9" s="3"/>
      <c r="G9" s="3"/>
      <c r="H9" s="30" t="s">
        <v>39</v>
      </c>
      <c r="I9" s="14"/>
      <c r="J9" s="56">
        <v>300</v>
      </c>
      <c r="K9" s="59" t="s">
        <v>40</v>
      </c>
      <c r="L9" s="35"/>
    </row>
    <row r="10" spans="1:15" ht="19.5">
      <c r="A10" s="24"/>
      <c r="B10" s="8">
        <v>46077</v>
      </c>
      <c r="C10" s="9" t="s">
        <v>21</v>
      </c>
      <c r="D10" s="3"/>
      <c r="E10" s="3"/>
      <c r="F10" s="3"/>
      <c r="G10" s="2"/>
      <c r="H10" s="30" t="s">
        <v>39</v>
      </c>
      <c r="I10" s="14"/>
      <c r="J10" s="15"/>
      <c r="K10" s="17"/>
      <c r="L10" s="35"/>
    </row>
    <row r="11" spans="1:15" ht="19.5">
      <c r="A11" s="24"/>
      <c r="B11" s="8">
        <v>46078</v>
      </c>
      <c r="C11" s="9" t="s">
        <v>21</v>
      </c>
      <c r="D11" s="3"/>
      <c r="E11" s="3"/>
      <c r="F11" s="3"/>
      <c r="G11" s="11"/>
      <c r="H11" s="30" t="s">
        <v>39</v>
      </c>
      <c r="I11" s="14"/>
      <c r="J11" s="38"/>
      <c r="K11" s="17"/>
      <c r="L11" s="35"/>
      <c r="M11" s="49"/>
      <c r="N11" s="17" t="s">
        <v>27</v>
      </c>
      <c r="O11" t="s">
        <v>18</v>
      </c>
    </row>
    <row r="12" spans="1:15" ht="18" customHeight="1">
      <c r="A12" s="24"/>
      <c r="B12" s="8">
        <v>46079</v>
      </c>
      <c r="C12" s="9" t="s">
        <v>21</v>
      </c>
      <c r="D12" s="11"/>
      <c r="E12" s="11"/>
      <c r="F12" s="3"/>
      <c r="G12" s="11"/>
      <c r="H12" s="30" t="s">
        <v>39</v>
      </c>
      <c r="I12" s="34"/>
      <c r="J12" s="35"/>
      <c r="K12" s="32"/>
      <c r="L12" s="35"/>
    </row>
    <row r="13" spans="1:15" ht="19.5">
      <c r="A13" s="24"/>
      <c r="B13" s="8">
        <v>46080</v>
      </c>
      <c r="C13" s="9" t="s">
        <v>21</v>
      </c>
      <c r="D13" s="3"/>
      <c r="E13" s="3"/>
      <c r="F13" s="3"/>
      <c r="G13" s="3"/>
      <c r="H13" s="30" t="s">
        <v>39</v>
      </c>
      <c r="I13" s="14"/>
      <c r="J13" s="15"/>
      <c r="K13" s="17"/>
      <c r="L13" s="35"/>
      <c r="N13" s="31"/>
    </row>
    <row r="14" spans="1:15" ht="19.5">
      <c r="A14" s="24">
        <v>18</v>
      </c>
      <c r="B14" s="8">
        <v>46081</v>
      </c>
      <c r="C14" s="9" t="s">
        <v>21</v>
      </c>
      <c r="D14" s="3"/>
      <c r="E14" s="3"/>
      <c r="F14" s="3"/>
      <c r="G14" s="3"/>
      <c r="H14" s="30" t="s">
        <v>39</v>
      </c>
      <c r="I14" s="14"/>
      <c r="J14" s="15"/>
      <c r="K14" s="17"/>
      <c r="L14" s="35"/>
    </row>
    <row r="15" spans="1:15" ht="19.5">
      <c r="A15" s="24"/>
      <c r="B15" s="8">
        <v>46082</v>
      </c>
      <c r="C15" s="9" t="s">
        <v>21</v>
      </c>
      <c r="D15" s="3"/>
      <c r="E15" s="3"/>
      <c r="F15" s="3"/>
      <c r="G15" s="3"/>
      <c r="H15" s="30" t="s">
        <v>39</v>
      </c>
      <c r="I15" s="2"/>
      <c r="J15" s="39"/>
      <c r="K15" s="40"/>
      <c r="L15" s="39"/>
    </row>
    <row r="16" spans="1:15" ht="19.5">
      <c r="A16" s="24"/>
      <c r="B16" s="8">
        <v>46083</v>
      </c>
      <c r="C16" s="9" t="s">
        <v>21</v>
      </c>
      <c r="D16" s="3"/>
      <c r="E16" s="3"/>
      <c r="F16" s="3"/>
      <c r="G16" s="3"/>
      <c r="H16" s="30" t="s">
        <v>39</v>
      </c>
      <c r="I16" s="14"/>
      <c r="J16" s="15"/>
      <c r="K16" s="17"/>
      <c r="L16" s="35"/>
    </row>
    <row r="17" spans="1:14" ht="19.5">
      <c r="A17" s="24"/>
      <c r="B17" s="8">
        <v>46084</v>
      </c>
      <c r="C17" s="9" t="s">
        <v>21</v>
      </c>
      <c r="D17" s="10"/>
      <c r="E17" s="10"/>
      <c r="F17" s="9"/>
      <c r="G17" s="12"/>
      <c r="H17" s="30" t="s">
        <v>39</v>
      </c>
      <c r="I17" s="34"/>
      <c r="J17" s="33"/>
      <c r="K17" s="32"/>
      <c r="L17" s="33"/>
    </row>
    <row r="18" spans="1:14" ht="18.75">
      <c r="A18" s="24"/>
      <c r="B18" s="8">
        <v>46085</v>
      </c>
      <c r="C18" s="9" t="s">
        <v>21</v>
      </c>
      <c r="D18" s="9"/>
      <c r="E18" s="12"/>
      <c r="F18" s="9"/>
      <c r="G18" s="12"/>
      <c r="H18" s="30" t="s">
        <v>39</v>
      </c>
      <c r="I18" s="14"/>
      <c r="J18" s="15"/>
      <c r="K18" s="18"/>
      <c r="L18" s="35"/>
    </row>
    <row r="19" spans="1:14" ht="19.5">
      <c r="A19" s="24"/>
      <c r="B19" s="8">
        <v>46086</v>
      </c>
      <c r="C19" s="9" t="s">
        <v>21</v>
      </c>
      <c r="D19" s="11"/>
      <c r="E19" s="11"/>
      <c r="F19" s="3"/>
      <c r="G19" s="11"/>
      <c r="H19" s="30" t="s">
        <v>39</v>
      </c>
      <c r="I19" s="34"/>
      <c r="J19" s="37"/>
      <c r="K19" s="17"/>
      <c r="L19" s="37"/>
      <c r="M19" s="46"/>
      <c r="N19" t="s">
        <v>19</v>
      </c>
    </row>
    <row r="20" spans="1:14" ht="15" customHeight="1">
      <c r="A20" s="24"/>
      <c r="B20" s="8">
        <v>46087</v>
      </c>
      <c r="C20" s="9" t="s">
        <v>21</v>
      </c>
      <c r="D20" s="11"/>
      <c r="E20" s="11"/>
      <c r="F20" s="3"/>
      <c r="G20" s="11"/>
      <c r="H20" s="30" t="s">
        <v>39</v>
      </c>
      <c r="I20" s="14"/>
      <c r="J20" s="15"/>
      <c r="K20" s="18"/>
      <c r="L20" s="35"/>
      <c r="M20" s="46" t="s">
        <v>40</v>
      </c>
    </row>
    <row r="21" spans="1:14" ht="18.75">
      <c r="A21" s="24"/>
      <c r="B21" s="8">
        <v>46088</v>
      </c>
      <c r="C21" s="9" t="s">
        <v>21</v>
      </c>
      <c r="D21" s="11"/>
      <c r="E21" s="11"/>
      <c r="F21" s="3"/>
      <c r="G21" s="11"/>
      <c r="H21" s="30" t="s">
        <v>39</v>
      </c>
      <c r="I21" s="14"/>
      <c r="J21" s="15"/>
      <c r="K21" s="18"/>
      <c r="L21" s="35"/>
      <c r="M21" s="46"/>
    </row>
    <row r="22" spans="1:14" ht="19.5">
      <c r="A22" s="24"/>
      <c r="B22" s="8">
        <v>46089</v>
      </c>
      <c r="C22" s="9" t="s">
        <v>21</v>
      </c>
      <c r="D22" s="11"/>
      <c r="E22" s="11"/>
      <c r="F22" s="3"/>
      <c r="G22" s="11"/>
      <c r="H22" s="30" t="s">
        <v>39</v>
      </c>
      <c r="I22" s="14"/>
      <c r="J22" s="37"/>
      <c r="K22" s="17"/>
      <c r="L22" s="37"/>
      <c r="M22" s="46"/>
    </row>
    <row r="23" spans="1:14" ht="20.25">
      <c r="A23" s="24"/>
      <c r="B23" s="8">
        <v>46090</v>
      </c>
      <c r="C23" s="9" t="s">
        <v>21</v>
      </c>
      <c r="D23" s="11"/>
      <c r="E23" s="11"/>
      <c r="F23" s="3"/>
      <c r="G23" s="11"/>
      <c r="H23" s="30" t="s">
        <v>39</v>
      </c>
      <c r="I23" s="14"/>
      <c r="J23" s="55"/>
      <c r="L23" s="35"/>
      <c r="M23" s="57" t="s">
        <v>31</v>
      </c>
    </row>
    <row r="24" spans="1:14" ht="20.25">
      <c r="A24" s="26"/>
      <c r="B24" s="8">
        <v>46091</v>
      </c>
      <c r="C24" s="9" t="s">
        <v>30</v>
      </c>
      <c r="D24" s="11">
        <v>0.29166666666666669</v>
      </c>
      <c r="E24" s="11">
        <v>0.625</v>
      </c>
      <c r="F24" s="3"/>
      <c r="G24" s="11"/>
      <c r="H24" s="46" t="s">
        <v>38</v>
      </c>
      <c r="I24" s="14"/>
      <c r="J24" s="56">
        <v>80</v>
      </c>
      <c r="K24" s="55" t="s">
        <v>29</v>
      </c>
      <c r="L24" s="35"/>
      <c r="M24" s="46"/>
    </row>
    <row r="25" spans="1:14" ht="20.25">
      <c r="A25" s="26"/>
      <c r="B25" s="8">
        <v>46092</v>
      </c>
      <c r="C25" s="9" t="s">
        <v>22</v>
      </c>
      <c r="D25" s="11"/>
      <c r="E25" s="11"/>
      <c r="F25" s="3"/>
      <c r="G25" s="11"/>
      <c r="H25" s="30" t="s">
        <v>38</v>
      </c>
      <c r="I25" s="34">
        <v>720</v>
      </c>
      <c r="J25" s="15"/>
      <c r="K25" s="58" t="s">
        <v>34</v>
      </c>
      <c r="L25" s="35"/>
      <c r="M25" s="47" t="s">
        <v>35</v>
      </c>
    </row>
    <row r="26" spans="1:14" ht="20.25">
      <c r="A26" s="26"/>
      <c r="B26" s="8">
        <v>46093</v>
      </c>
      <c r="C26" s="9" t="s">
        <v>22</v>
      </c>
      <c r="D26" s="11"/>
      <c r="E26" s="11"/>
      <c r="F26" s="3"/>
      <c r="G26" s="11"/>
      <c r="H26" s="30" t="s">
        <v>38</v>
      </c>
      <c r="I26" s="14"/>
      <c r="J26" s="56">
        <v>100</v>
      </c>
      <c r="K26" s="55" t="s">
        <v>33</v>
      </c>
      <c r="L26" s="35"/>
      <c r="M26" t="s">
        <v>36</v>
      </c>
    </row>
    <row r="27" spans="1:14" ht="18" customHeight="1">
      <c r="A27" s="26"/>
      <c r="B27" s="8">
        <v>46094</v>
      </c>
      <c r="C27" s="9" t="s">
        <v>22</v>
      </c>
      <c r="D27" s="11"/>
      <c r="E27" s="11"/>
      <c r="F27" s="3"/>
      <c r="G27" s="11"/>
      <c r="H27" s="30" t="s">
        <v>38</v>
      </c>
      <c r="I27" s="14"/>
      <c r="J27" s="56">
        <v>300</v>
      </c>
      <c r="K27" s="59" t="s">
        <v>40</v>
      </c>
      <c r="L27" s="35"/>
      <c r="M27" t="s">
        <v>37</v>
      </c>
    </row>
    <row r="28" spans="1:14" ht="19.5">
      <c r="A28" s="26"/>
      <c r="B28" s="8">
        <v>46095</v>
      </c>
      <c r="C28" s="9" t="s">
        <v>22</v>
      </c>
      <c r="D28" s="11"/>
      <c r="E28" s="11"/>
      <c r="F28" s="3"/>
      <c r="G28" s="11"/>
      <c r="H28" s="30" t="s">
        <v>38</v>
      </c>
      <c r="I28" s="14"/>
      <c r="J28" s="15"/>
      <c r="K28" s="17"/>
      <c r="L28" s="35"/>
    </row>
    <row r="29" spans="1:14" ht="27" customHeight="1">
      <c r="A29" s="26">
        <v>13</v>
      </c>
      <c r="B29" s="8">
        <v>46096</v>
      </c>
      <c r="C29" s="9" t="s">
        <v>22</v>
      </c>
      <c r="D29" s="11"/>
      <c r="E29" s="11"/>
      <c r="F29" s="3"/>
      <c r="G29" s="11"/>
      <c r="H29" s="30" t="s">
        <v>38</v>
      </c>
      <c r="I29" s="14"/>
      <c r="J29" s="15"/>
      <c r="K29" s="17"/>
      <c r="L29" s="35"/>
    </row>
    <row r="30" spans="1:14" ht="19.5">
      <c r="A30" s="26"/>
      <c r="B30" s="8">
        <v>46097</v>
      </c>
      <c r="C30" s="9" t="s">
        <v>22</v>
      </c>
      <c r="D30" s="11"/>
      <c r="E30" s="11"/>
      <c r="F30" s="3"/>
      <c r="G30" s="11"/>
      <c r="H30" s="30" t="s">
        <v>38</v>
      </c>
      <c r="I30" s="14"/>
      <c r="J30" s="15"/>
      <c r="K30" s="17"/>
      <c r="L30" s="35"/>
    </row>
    <row r="31" spans="1:14" ht="19.5">
      <c r="A31" s="26"/>
      <c r="B31" s="8">
        <v>46098</v>
      </c>
      <c r="C31" s="9" t="s">
        <v>22</v>
      </c>
      <c r="D31" s="11"/>
      <c r="E31" s="11"/>
      <c r="F31" s="3"/>
      <c r="G31" s="13"/>
      <c r="H31" s="30" t="s">
        <v>38</v>
      </c>
      <c r="I31" s="14"/>
      <c r="J31" s="37"/>
      <c r="K31" s="17"/>
      <c r="L31" s="35"/>
    </row>
    <row r="32" spans="1:14" ht="19.5">
      <c r="A32" s="26"/>
      <c r="B32" s="8">
        <v>46099</v>
      </c>
      <c r="C32" s="9" t="s">
        <v>22</v>
      </c>
      <c r="D32" s="11"/>
      <c r="E32" s="11"/>
      <c r="F32" s="3"/>
      <c r="G32" s="11"/>
      <c r="H32" s="30" t="s">
        <v>38</v>
      </c>
      <c r="I32" s="14"/>
      <c r="J32" s="42"/>
      <c r="K32" s="17"/>
      <c r="L32" s="35"/>
    </row>
    <row r="33" spans="1:13" ht="19.5">
      <c r="A33" s="26"/>
      <c r="B33" s="8">
        <v>46100</v>
      </c>
      <c r="C33" s="9" t="s">
        <v>22</v>
      </c>
      <c r="D33" s="11"/>
      <c r="E33" s="11"/>
      <c r="F33" s="3"/>
      <c r="G33" s="11"/>
      <c r="H33" s="30" t="s">
        <v>38</v>
      </c>
      <c r="I33" s="14"/>
      <c r="J33" s="15"/>
      <c r="K33" s="17"/>
      <c r="L33" s="35"/>
    </row>
    <row r="34" spans="1:13" ht="19.5">
      <c r="A34" s="26"/>
      <c r="B34" s="8">
        <v>46101</v>
      </c>
      <c r="C34" s="9" t="s">
        <v>22</v>
      </c>
      <c r="D34" s="11"/>
      <c r="E34" s="11"/>
      <c r="F34" s="3"/>
      <c r="G34" s="11"/>
      <c r="H34" s="30" t="s">
        <v>38</v>
      </c>
      <c r="I34" s="34"/>
      <c r="J34" s="33"/>
      <c r="K34" s="32"/>
      <c r="L34" s="38"/>
    </row>
    <row r="35" spans="1:13" ht="19.5">
      <c r="A35" s="26"/>
      <c r="B35" s="8">
        <v>46102</v>
      </c>
      <c r="C35" s="9" t="s">
        <v>25</v>
      </c>
      <c r="D35" s="11"/>
      <c r="E35" s="11"/>
      <c r="F35" s="5"/>
      <c r="G35" s="11"/>
      <c r="H35" s="30" t="s">
        <v>38</v>
      </c>
      <c r="I35" s="34"/>
      <c r="J35" s="33"/>
      <c r="K35" s="32"/>
      <c r="L35" s="33"/>
    </row>
    <row r="36" spans="1:13" ht="20.25">
      <c r="A36" s="26"/>
      <c r="B36" s="8">
        <v>46103</v>
      </c>
      <c r="C36" s="9" t="s">
        <v>51</v>
      </c>
      <c r="D36" s="11">
        <v>0.78819444444444442</v>
      </c>
      <c r="E36" s="11">
        <v>0.93055555555555558</v>
      </c>
      <c r="F36" s="5"/>
      <c r="G36" s="11">
        <v>0.30902777777777779</v>
      </c>
      <c r="H36" s="30" t="s">
        <v>38</v>
      </c>
      <c r="I36" s="34"/>
      <c r="J36" s="56">
        <v>40</v>
      </c>
      <c r="K36" s="55" t="s">
        <v>29</v>
      </c>
      <c r="L36" s="33"/>
      <c r="M36" t="s">
        <v>32</v>
      </c>
    </row>
    <row r="37" spans="1:13" ht="19.5">
      <c r="A37" s="5"/>
      <c r="B37" s="8">
        <v>46103</v>
      </c>
      <c r="C37" s="9" t="s">
        <v>52</v>
      </c>
      <c r="D37" s="11">
        <v>9.7222222222222224E-2</v>
      </c>
      <c r="E37" s="11">
        <v>0.28472222222222221</v>
      </c>
      <c r="F37" s="5"/>
      <c r="G37" s="11">
        <v>0.27083333333333331</v>
      </c>
      <c r="H37" s="22"/>
      <c r="I37" s="34"/>
      <c r="J37" s="33"/>
      <c r="K37" s="32" t="s">
        <v>13</v>
      </c>
      <c r="L37" s="33"/>
    </row>
    <row r="38" spans="1:13" ht="20.25">
      <c r="A38" s="29"/>
      <c r="H38" s="25" t="s">
        <v>17</v>
      </c>
      <c r="I38" s="44">
        <f>SUM(I3:I34)</f>
        <v>1862</v>
      </c>
      <c r="J38" s="15"/>
      <c r="K38" s="58" t="s">
        <v>34</v>
      </c>
      <c r="L38" s="35"/>
    </row>
    <row r="39" spans="1:13" ht="19.5">
      <c r="B39" t="s">
        <v>44</v>
      </c>
      <c r="C39" s="61" t="s">
        <v>45</v>
      </c>
      <c r="D39" s="62">
        <v>27000</v>
      </c>
      <c r="E39" s="62">
        <v>730</v>
      </c>
      <c r="H39" s="25" t="s">
        <v>16</v>
      </c>
      <c r="I39" s="43">
        <f>J34+J17+J12+J2</f>
        <v>1255.74</v>
      </c>
      <c r="J39" s="15"/>
      <c r="K39" s="32" t="s">
        <v>13</v>
      </c>
      <c r="L39" s="35"/>
    </row>
    <row r="40" spans="1:13" ht="20.25">
      <c r="C40" s="61" t="s">
        <v>6</v>
      </c>
      <c r="D40" s="63">
        <v>22300</v>
      </c>
      <c r="E40" s="62">
        <f>12*50</f>
        <v>600</v>
      </c>
      <c r="H40" s="25" t="s">
        <v>42</v>
      </c>
      <c r="I40" s="43"/>
      <c r="J40" s="56">
        <f>J36+J26+J24+J8+J7+J27+J9+J4</f>
        <v>1228</v>
      </c>
      <c r="K40" s="55" t="s">
        <v>41</v>
      </c>
      <c r="L40" s="35"/>
    </row>
    <row r="41" spans="1:13" ht="19.5">
      <c r="C41" s="61" t="s">
        <v>46</v>
      </c>
      <c r="D41" s="62">
        <f>300*13</f>
        <v>3900</v>
      </c>
      <c r="E41" s="62">
        <v>105</v>
      </c>
      <c r="H41" s="2" t="s">
        <v>6</v>
      </c>
      <c r="I41" s="14"/>
      <c r="J41" s="15">
        <f>34*45</f>
        <v>1530</v>
      </c>
      <c r="K41" s="17" t="s">
        <v>14</v>
      </c>
      <c r="L41" s="35"/>
    </row>
    <row r="42" spans="1:13" ht="30">
      <c r="C42" s="61" t="s">
        <v>47</v>
      </c>
      <c r="D42" s="64">
        <v>3900</v>
      </c>
      <c r="E42" s="64">
        <v>105</v>
      </c>
      <c r="H42" s="19" t="s">
        <v>12</v>
      </c>
      <c r="I42" s="14"/>
      <c r="J42" s="41">
        <v>500</v>
      </c>
      <c r="K42" s="40" t="s">
        <v>15</v>
      </c>
      <c r="L42" s="35"/>
    </row>
    <row r="43" spans="1:13" ht="15.75">
      <c r="C43" s="61" t="s">
        <v>48</v>
      </c>
      <c r="D43" s="64">
        <v>1863</v>
      </c>
      <c r="E43" s="64">
        <v>50</v>
      </c>
      <c r="H43" s="4" t="s">
        <v>11</v>
      </c>
      <c r="I43" s="36">
        <f>SUM(I36:I40)</f>
        <v>3117.74</v>
      </c>
      <c r="J43" s="21">
        <f>SUM(J38:J42)</f>
        <v>3258</v>
      </c>
      <c r="K43" s="66">
        <f>SUM(I43:J43)</f>
        <v>6375.74</v>
      </c>
    </row>
    <row r="44" spans="1:13" ht="15.75">
      <c r="C44" s="61"/>
      <c r="D44" s="64"/>
      <c r="E44" s="64"/>
      <c r="H44" s="4"/>
      <c r="I44" s="36"/>
      <c r="J44" s="21"/>
      <c r="K44" s="66"/>
    </row>
    <row r="45" spans="1:13" ht="15.75">
      <c r="C45" s="61"/>
      <c r="D45" s="64"/>
      <c r="E45" s="64"/>
      <c r="H45" s="4"/>
      <c r="I45" s="36"/>
      <c r="J45" s="21"/>
      <c r="K45" s="66"/>
    </row>
    <row r="46" spans="1:13">
      <c r="C46" s="1" t="s">
        <v>54</v>
      </c>
      <c r="D46" s="62">
        <v>6500</v>
      </c>
      <c r="E46" s="62"/>
      <c r="J46" s="5" t="s">
        <v>10</v>
      </c>
      <c r="K46" s="20">
        <f>K43/2</f>
        <v>3187.87</v>
      </c>
    </row>
    <row r="47" spans="1:13" ht="15.75">
      <c r="D47" s="67">
        <f>SUM(D39:D46)</f>
        <v>65463</v>
      </c>
      <c r="E47" s="65">
        <v>1768</v>
      </c>
      <c r="I47" s="36"/>
      <c r="J47" s="21"/>
      <c r="K47" s="45"/>
      <c r="L47" s="51"/>
    </row>
    <row r="48" spans="1:13" ht="30">
      <c r="C48" s="61" t="s">
        <v>55</v>
      </c>
      <c r="H48" s="5"/>
      <c r="I48" s="5"/>
      <c r="L48" s="20"/>
      <c r="M48"/>
    </row>
  </sheetData>
  <mergeCells count="1">
    <mergeCell ref="A4:A5"/>
  </mergeCells>
  <hyperlinks>
    <hyperlink ref="H3" r:id="rId1" xr:uid="{054B853C-0F28-42E8-9FBB-F557F7BD2EC8}"/>
    <hyperlink ref="H4" r:id="rId2" xr:uid="{89299FF6-FF4C-4624-AA2C-5CBF2A03B09D}"/>
    <hyperlink ref="H5" r:id="rId3" xr:uid="{D77D2294-AA23-4B45-89B0-FA385A6AD174}"/>
    <hyperlink ref="H24" r:id="rId4" display="https://www.booking.com/hotel/th/ko-kut-coconut-garden.de.html?label=metagha-link-MRDE-hotel-4633514_dev-desktop_los-1_bw-13_dow-Sunday_defdate-1_room-0_gstadt-2_rateid-public_aud-0_gacid-21411073817_mcid-50_bc-AEazqg_ppa-0_clrid-0_ad-1_gstkid-0_checkin-20251123_ppt-B_lp-2276_r-11587889017981501062&amp;sid=8bea14bdda0fc2a5dcb2c65ead2fe470&amp;utm_source=metagha&amp;utm_medium=mapresults&amp;utm_term=hotel-4633514&amp;utm_content=dev-desktop_los-1_bw-13_dow-Sunday_defdate-1_room-0_gstadt-2_rateid-public_aud-0_gacid-21411073817_mcid-50_bc-AEazqg_ppa-0_clrid-0_ad-1_gstkid-0_checkin-20251123_ppt-B&amp;utm_campaign=DE&amp;gclid=CjwKCAiAt8bIBhBpEiwAzH1w6f5lsPURRzheDWvKbUYskyfAxwpW-QTEqcySTQaOeHCh-V1XvXzbwhoC4LsQAvD_BwE&amp;aid=356932" xr:uid="{51B1E3AE-45CB-4E05-9983-D09F5236C8FA}"/>
    <hyperlink ref="H6" r:id="rId5" display="https://www.booking.com/hotel/th/jungle-view.de.html?label=metagha-link-MRDE-hotel-4633514_dev-desktop_los-1_bw-13_dow-Sunday_defdate-1_room-0_gstadt-2_rateid-public_aud-0_gacid-21411073817_mcid-50_bc-AEazqg_ppa-0_clrid-0_ad-1_gstkid-0_checkin-20251123_ppt-B_lp-2276_r-11587889017981501062&amp;sid=8bea14bdda0fc2a5dcb2c65ead2fe470&amp;utm_source=metagha&amp;utm_medium=mapresults&amp;utm_term=hotel-4633514&amp;utm_content=dev-desktop_los-1_bw-13_dow-Sunday_defdate-1_room-0_gstadt-2_rateid-public_aud-0_gacid-21411073817_mcid-50_bc-AEazqg_ppa-0_clrid-0_ad-1_gstkid-0_checkin-20251123_ppt-B&amp;utm_campaign=DE&amp;gclid=CjwKCAiAt8bIBhBpEiwAzH1w6f5lsPURRzheDWvKbUYskyfAxwpW-QTEqcySTQaOeHCh-V1XvXzbwhoC4LsQAvD_BwE&amp;aid=356932" xr:uid="{6215DB84-21D4-41E2-9086-C771A44A5E10}"/>
  </hyperlinks>
  <pageMargins left="0.23622047244094491" right="0.23622047244094491" top="0.74803149606299213" bottom="0.74803149606299213" header="0.31496062992125984" footer="0.31496062992125984"/>
  <pageSetup paperSize="9" scale="62" fitToHeight="0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Zaiser</dc:creator>
  <cp:lastModifiedBy>Bernd Zaiser</cp:lastModifiedBy>
  <cp:lastPrinted>2026-02-16T08:34:17Z</cp:lastPrinted>
  <dcterms:created xsi:type="dcterms:W3CDTF">2017-08-15T07:54:34Z</dcterms:created>
  <dcterms:modified xsi:type="dcterms:W3CDTF">2026-04-11T17:34:56Z</dcterms:modified>
</cp:coreProperties>
</file>